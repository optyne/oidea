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📘 使用說明" sheetId="1" state="visible" r:id="rId1"/>
    <sheet name="💎 產品價目表" sheetId="2" state="visible" r:id="rId2"/>
    <sheet name="📋 客戶主檔" sheetId="3" state="visible" r:id="rId3"/>
    <sheet name="📦 服務項目" sheetId="4" state="visible" r:id="rId4"/>
    <sheet name="💵 收款紀錄 2026" sheetId="5" state="visible" r:id="rId5"/>
    <sheet name="🧮 報價單範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001F3864"/>
      <sz val="16"/>
    </font>
    <font>
      <name val="微軟正黑體"/>
      <b val="1"/>
      <color rgb="001F3864"/>
      <sz val="12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color rgb="00C00000"/>
      <sz val="12"/>
    </font>
    <font>
      <name val="微軟正黑體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</cols>
  <sheetData>
    <row r="1" ht="32" customHeight="1">
      <c r="A1" s="1" t="inlineStr">
        <is>
          <t>📘 使用說明</t>
        </is>
      </c>
    </row>
    <row r="3">
      <c r="A3" s="2" t="inlineStr">
        <is>
          <t>工作表導覽</t>
        </is>
      </c>
    </row>
    <row r="4">
      <c r="A4" s="3" t="inlineStr">
        <is>
          <t>順序</t>
        </is>
      </c>
      <c r="B4" s="3" t="inlineStr">
        <is>
          <t>工作表</t>
        </is>
      </c>
      <c r="C4" s="3" t="inlineStr">
        <is>
          <t>何時使用</t>
        </is>
      </c>
    </row>
    <row r="5">
      <c r="A5" s="4" t="inlineStr">
        <is>
          <t>1</t>
        </is>
      </c>
      <c r="B5" s="4" t="inlineStr">
        <is>
          <t>📘 使用說明</t>
        </is>
      </c>
      <c r="C5" s="4" t="inlineStr">
        <is>
          <t>首次使用時閱讀（本頁）</t>
        </is>
      </c>
    </row>
    <row r="6">
      <c r="A6" s="5" t="inlineStr">
        <is>
          <t>2</t>
        </is>
      </c>
      <c r="B6" s="5" t="inlineStr">
        <is>
          <t>💎 產品價目表</t>
        </is>
      </c>
      <c r="C6" s="5" t="inlineStr">
        <is>
          <t>新客戶報價前查方案與單價</t>
        </is>
      </c>
    </row>
    <row r="7">
      <c r="A7" s="4" t="inlineStr">
        <is>
          <t>3</t>
        </is>
      </c>
      <c r="B7" s="4" t="inlineStr">
        <is>
          <t>📋 客戶主檔</t>
        </is>
      </c>
      <c r="C7" s="4" t="inlineStr">
        <is>
          <t>成交後登錄客戶基本資料</t>
        </is>
      </c>
    </row>
    <row r="8">
      <c r="A8" s="5" t="inlineStr">
        <is>
          <t>4</t>
        </is>
      </c>
      <c r="B8" s="5" t="inlineStr">
        <is>
          <t>📦 服務項目</t>
        </is>
      </c>
      <c r="C8" s="5" t="inlineStr">
        <is>
          <t>記錄客戶已購買的服務明細</t>
        </is>
      </c>
    </row>
    <row r="9">
      <c r="A9" s="4" t="inlineStr">
        <is>
          <t>5</t>
        </is>
      </c>
      <c r="B9" s="4" t="inlineStr">
        <is>
          <t>💵 收款紀錄 2026</t>
        </is>
      </c>
      <c r="C9" s="4" t="inlineStr">
        <is>
          <t>每次收到款項即登錄</t>
        </is>
      </c>
    </row>
    <row r="10">
      <c r="A10" s="5" t="inlineStr">
        <is>
          <t>6</t>
        </is>
      </c>
      <c r="B10" s="5" t="inlineStr">
        <is>
          <t>🧮 報價單範例</t>
        </is>
      </c>
      <c r="C10" s="5" t="inlineStr">
        <is>
          <t>新客戶報價時複製本表改名使用</t>
        </is>
      </c>
    </row>
    <row r="12">
      <c r="A12" s="2" t="inlineStr">
        <is>
          <t>典型流程</t>
        </is>
      </c>
    </row>
    <row r="13">
      <c r="A13" s="6" t="inlineStr">
        <is>
          <t>① 客戶詢問 → 打開「💎 產品價目表」確認方案</t>
        </is>
      </c>
    </row>
    <row r="14">
      <c r="A14" s="6" t="inlineStr">
        <is>
          <t>② 複製「🧮 報價單範例」→ 重新命名為客戶名稱</t>
        </is>
      </c>
    </row>
    <row r="15">
      <c r="A15" s="6" t="inlineStr">
        <is>
          <t>③ 填入方案、折扣、合計 → 寄出報價</t>
        </is>
      </c>
    </row>
    <row r="16">
      <c r="A16" s="6" t="inlineStr">
        <is>
          <t>④ 客戶成交 → 「📋 客戶主檔」加一列</t>
        </is>
      </c>
    </row>
    <row r="17">
      <c r="A17" s="6" t="inlineStr">
        <is>
          <t>⑤ 每個方案 → 「📦 服務項目」加一列</t>
        </is>
      </c>
    </row>
    <row r="18">
      <c r="A18" s="6" t="inlineStr">
        <is>
          <t>⑥ 客戶付款 → 「💵 收款紀錄」加一列</t>
        </is>
      </c>
    </row>
  </sheetData>
  <mergeCells count="7">
    <mergeCell ref="A13:C13"/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8" customWidth="1" min="4" max="4"/>
    <col width="6" customWidth="1" min="5" max="5"/>
    <col width="12" customWidth="1" min="6" max="6"/>
    <col width="6" customWidth="1" min="7" max="7"/>
    <col width="20" customWidth="1" min="8" max="8"/>
  </cols>
  <sheetData>
    <row r="1" ht="32" customHeight="1">
      <c r="A1" s="1" t="inlineStr">
        <is>
          <t>💎 產品價目表</t>
        </is>
      </c>
    </row>
    <row r="3">
      <c r="A3" s="3" t="inlineStr">
        <is>
          <t>類別</t>
        </is>
      </c>
      <c r="B3" s="3" t="inlineStr">
        <is>
          <t>方案名稱</t>
        </is>
      </c>
      <c r="C3" s="3" t="inlineStr">
        <is>
          <t>產品代碼</t>
        </is>
      </c>
      <c r="D3" s="3" t="inlineStr">
        <is>
          <t>規格說明</t>
        </is>
      </c>
      <c r="E3" s="3" t="inlineStr">
        <is>
          <t>單位</t>
        </is>
      </c>
      <c r="F3" s="3" t="inlineStr">
        <is>
          <t>單價(NTD)</t>
        </is>
      </c>
      <c r="G3" s="3" t="inlineStr">
        <is>
          <t>主打</t>
        </is>
      </c>
      <c r="H3" s="3" t="inlineStr">
        <is>
          <t>備註</t>
        </is>
      </c>
    </row>
    <row r="4">
      <c r="A4" s="4" t="inlineStr">
        <is>
          <t>網站</t>
        </is>
      </c>
      <c r="B4" s="4" t="inlineStr">
        <is>
          <t>官網維護</t>
        </is>
      </c>
      <c r="C4" s="4" t="inlineStr">
        <is>
          <t>WEB-01</t>
        </is>
      </c>
      <c r="D4" s="4" t="inlineStr">
        <is>
          <t>月度例行維護、內容更新、小幅樣式調整、備份</t>
        </is>
      </c>
      <c r="E4" s="4" t="inlineStr">
        <is>
          <t>月</t>
        </is>
      </c>
      <c r="F4" s="4" t="inlineStr">
        <is>
          <t>[待填]</t>
        </is>
      </c>
      <c r="G4" s="4" t="inlineStr"/>
      <c r="H4" s="4" t="inlineStr">
        <is>
          <t>不含大改版</t>
        </is>
      </c>
    </row>
    <row r="5">
      <c r="A5" s="4" t="inlineStr">
        <is>
          <t>Email 主方案</t>
        </is>
      </c>
      <c r="B5" s="4" t="inlineStr">
        <is>
          <t>輕量版</t>
        </is>
      </c>
      <c r="C5" s="4" t="inlineStr">
        <is>
          <t>MAIL-LITE</t>
        </is>
      </c>
      <c r="D5" s="4" t="inlineStr">
        <is>
          <t>5GB 信箱 × 3 組</t>
        </is>
      </c>
      <c r="E5" s="4" t="inlineStr">
        <is>
          <t>月</t>
        </is>
      </c>
      <c r="F5" s="4" t="inlineStr">
        <is>
          <t>[待填]</t>
        </is>
      </c>
      <c r="G5" s="4" t="inlineStr"/>
      <c r="H5" s="4" t="inlineStr">
        <is>
          <t>適合個人工作室</t>
        </is>
      </c>
    </row>
    <row r="6">
      <c r="A6" s="7" t="inlineStr">
        <is>
          <t>Email 主方案</t>
        </is>
      </c>
      <c r="B6" s="7" t="inlineStr">
        <is>
          <t>標準版</t>
        </is>
      </c>
      <c r="C6" s="7" t="inlineStr">
        <is>
          <t>MAIL-STD</t>
        </is>
      </c>
      <c r="D6" s="7" t="inlineStr">
        <is>
          <t>20GB 信箱 × 10 組、垃圾郵件過濾</t>
        </is>
      </c>
      <c r="E6" s="7" t="inlineStr">
        <is>
          <t>月</t>
        </is>
      </c>
      <c r="F6" s="7" t="inlineStr">
        <is>
          <t>[待填]</t>
        </is>
      </c>
      <c r="G6" s="7" t="inlineStr">
        <is>
          <t>⭐</t>
        </is>
      </c>
      <c r="H6" s="7" t="inlineStr">
        <is>
          <t>最常成交方案</t>
        </is>
      </c>
    </row>
    <row r="7">
      <c r="A7" s="4" t="inlineStr">
        <is>
          <t>Email 主方案</t>
        </is>
      </c>
      <c r="B7" s="4" t="inlineStr">
        <is>
          <t>專業版</t>
        </is>
      </c>
      <c r="C7" s="4" t="inlineStr">
        <is>
          <t>MAIL-PRO</t>
        </is>
      </c>
      <c r="D7" s="4" t="inlineStr">
        <is>
          <t>50GB 信箱 × 30 組、進階過濾、獨立 SMTP</t>
        </is>
      </c>
      <c r="E7" s="4" t="inlineStr">
        <is>
          <t>月</t>
        </is>
      </c>
      <c r="F7" s="4" t="inlineStr">
        <is>
          <t>[待填]</t>
        </is>
      </c>
      <c r="G7" s="4" t="inlineStr"/>
      <c r="H7" s="4" t="inlineStr">
        <is>
          <t>中型公司適用</t>
        </is>
      </c>
    </row>
    <row r="8">
      <c r="A8" s="4" t="inlineStr">
        <is>
          <t>容量加購</t>
        </is>
      </c>
      <c r="B8" s="4" t="inlineStr">
        <is>
          <t>小量</t>
        </is>
      </c>
      <c r="C8" s="4" t="inlineStr">
        <is>
          <t>CAP-S</t>
        </is>
      </c>
      <c r="D8" s="4" t="inlineStr">
        <is>
          <t>額外 10GB</t>
        </is>
      </c>
      <c r="E8" s="4" t="inlineStr">
        <is>
          <t>月</t>
        </is>
      </c>
      <c r="F8" s="4" t="inlineStr">
        <is>
          <t>[待填]</t>
        </is>
      </c>
      <c r="G8" s="4" t="inlineStr"/>
      <c r="H8" s="4" t="inlineStr">
        <is>
          <t>加購於主方案</t>
        </is>
      </c>
    </row>
    <row r="9">
      <c r="A9" s="4" t="inlineStr">
        <is>
          <t>容量加購</t>
        </is>
      </c>
      <c r="B9" s="4" t="inlineStr">
        <is>
          <t>中量</t>
        </is>
      </c>
      <c r="C9" s="4" t="inlineStr">
        <is>
          <t>CAP-M</t>
        </is>
      </c>
      <c r="D9" s="4" t="inlineStr">
        <is>
          <t>額外 50GB</t>
        </is>
      </c>
      <c r="E9" s="4" t="inlineStr">
        <is>
          <t>月</t>
        </is>
      </c>
      <c r="F9" s="4" t="inlineStr">
        <is>
          <t>[待填]</t>
        </is>
      </c>
      <c r="G9" s="4" t="inlineStr"/>
      <c r="H9" s="4" t="inlineStr">
        <is>
          <t>加購於主方案</t>
        </is>
      </c>
    </row>
    <row r="10">
      <c r="A10" s="4" t="inlineStr">
        <is>
          <t>容量加購</t>
        </is>
      </c>
      <c r="B10" s="4" t="inlineStr">
        <is>
          <t>海量</t>
        </is>
      </c>
      <c r="C10" s="4" t="inlineStr">
        <is>
          <t>CAP-L</t>
        </is>
      </c>
      <c r="D10" s="4" t="inlineStr">
        <is>
          <t>額外 200GB</t>
        </is>
      </c>
      <c r="E10" s="4" t="inlineStr">
        <is>
          <t>月</t>
        </is>
      </c>
      <c r="F10" s="4" t="inlineStr">
        <is>
          <t>[待填]</t>
        </is>
      </c>
      <c r="G10" s="4" t="inlineStr"/>
      <c r="H10" s="4" t="inlineStr">
        <is>
          <t>加購於主方案</t>
        </is>
      </c>
    </row>
    <row r="11">
      <c r="A11" s="4" t="inlineStr">
        <is>
          <t>別名服務</t>
        </is>
      </c>
      <c r="B11" s="4" t="inlineStr">
        <is>
          <t>單個別名</t>
        </is>
      </c>
      <c r="C11" s="4" t="inlineStr">
        <is>
          <t>ALIAS-01</t>
        </is>
      </c>
      <c r="D11" s="4" t="inlineStr">
        <is>
          <t>一個別名地址、永久</t>
        </is>
      </c>
      <c r="E11" s="4" t="inlineStr">
        <is>
          <t>月</t>
        </is>
      </c>
      <c r="F11" s="4" t="inlineStr">
        <is>
          <t>[待填]</t>
        </is>
      </c>
      <c r="G11" s="4" t="inlineStr"/>
      <c r="H11" s="4" t="inlineStr"/>
    </row>
    <row r="12">
      <c r="A12" s="4" t="inlineStr">
        <is>
          <t>別名服務</t>
        </is>
      </c>
      <c r="B12" s="4" t="inlineStr">
        <is>
          <t>組合包</t>
        </is>
      </c>
      <c r="C12" s="4" t="inlineStr">
        <is>
          <t>ALIAS-03</t>
        </is>
      </c>
      <c r="D12" s="4" t="inlineStr">
        <is>
          <t>三個別名地址、永久</t>
        </is>
      </c>
      <c r="E12" s="4" t="inlineStr">
        <is>
          <t>月</t>
        </is>
      </c>
      <c r="F12" s="4" t="inlineStr">
        <is>
          <t>[待填]</t>
        </is>
      </c>
      <c r="G12" s="4" t="inlineStr"/>
      <c r="H12" s="4" t="inlineStr">
        <is>
          <t>比單買省</t>
        </is>
      </c>
    </row>
    <row r="13">
      <c r="A13" s="4" t="inlineStr">
        <is>
          <t>別名服務</t>
        </is>
      </c>
      <c r="B13" s="4" t="inlineStr">
        <is>
          <t>時效性</t>
        </is>
      </c>
      <c r="C13" s="4" t="inlineStr">
        <is>
          <t>ALIAS-T</t>
        </is>
      </c>
      <c r="D13" s="4" t="inlineStr">
        <is>
          <t>指定期間有效、到期自動停用</t>
        </is>
      </c>
      <c r="E13" s="4" t="inlineStr">
        <is>
          <t>次</t>
        </is>
      </c>
      <c r="F13" s="4" t="inlineStr">
        <is>
          <t>[待填]</t>
        </is>
      </c>
      <c r="G13" s="4" t="inlineStr"/>
      <c r="H13" s="4" t="inlineStr">
        <is>
          <t>活動／短期用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  <col width="15" customWidth="1" min="6" max="6"/>
    <col width="14" customWidth="1" min="7" max="7"/>
    <col width="28" customWidth="1" min="8" max="8"/>
    <col width="22" customWidth="1" min="9" max="9"/>
    <col width="12" customWidth="1" min="10" max="10"/>
    <col width="12" customWidth="1" min="11" max="11"/>
    <col width="8" customWidth="1" min="12" max="12"/>
    <col width="18" customWidth="1" min="13" max="13"/>
  </cols>
  <sheetData>
    <row r="1" ht="32" customHeight="1">
      <c r="A1" s="1" t="inlineStr">
        <is>
          <t>📋 客戶主檔</t>
        </is>
      </c>
    </row>
    <row r="3">
      <c r="A3" s="3" t="inlineStr">
        <is>
          <t>客戶編號</t>
        </is>
      </c>
      <c r="B3" s="3" t="inlineStr">
        <is>
          <t>客戶名稱</t>
        </is>
      </c>
      <c r="C3" s="3" t="inlineStr">
        <is>
          <t>統編</t>
        </is>
      </c>
      <c r="D3" s="3" t="inlineStr">
        <is>
          <t>聯絡人</t>
        </is>
      </c>
      <c r="E3" s="3" t="inlineStr">
        <is>
          <t>職稱</t>
        </is>
      </c>
      <c r="F3" s="3" t="inlineStr">
        <is>
          <t>電話</t>
        </is>
      </c>
      <c r="G3" s="3" t="inlineStr">
        <is>
          <t>行動電話</t>
        </is>
      </c>
      <c r="H3" s="3" t="inlineStr">
        <is>
          <t>Email</t>
        </is>
      </c>
      <c r="I3" s="3" t="inlineStr">
        <is>
          <t>寄件地址</t>
        </is>
      </c>
      <c r="J3" s="3" t="inlineStr">
        <is>
          <t>開始合作日</t>
        </is>
      </c>
      <c r="K3" s="3" t="inlineStr">
        <is>
          <t>客戶來源</t>
        </is>
      </c>
      <c r="L3" s="3" t="inlineStr">
        <is>
          <t>狀態</t>
        </is>
      </c>
      <c r="M3" s="3" t="inlineStr">
        <is>
          <t>備註</t>
        </is>
      </c>
    </row>
    <row r="4">
      <c r="A4" s="4" t="inlineStr">
        <is>
          <t>C26001</t>
        </is>
      </c>
      <c r="B4" s="4" t="inlineStr">
        <is>
          <t>範例科技有限公司</t>
        </is>
      </c>
      <c r="C4" s="4" t="inlineStr">
        <is>
          <t>12345678</t>
        </is>
      </c>
      <c r="D4" s="4" t="inlineStr">
        <is>
          <t>王大明</t>
        </is>
      </c>
      <c r="E4" s="4" t="inlineStr">
        <is>
          <t>資訊主管</t>
        </is>
      </c>
      <c r="F4" s="4" t="inlineStr">
        <is>
          <t>02-1234-5678</t>
        </is>
      </c>
      <c r="G4" s="4" t="inlineStr">
        <is>
          <t>0912-345-678</t>
        </is>
      </c>
      <c r="H4" s="4" t="inlineStr">
        <is>
          <t>contact@example-tech.com.tw</t>
        </is>
      </c>
      <c r="I4" s="4" t="inlineStr">
        <is>
          <t>台北市中山區範例路1號</t>
        </is>
      </c>
      <c r="J4" s="4" t="inlineStr">
        <is>
          <t>2026-01-15</t>
        </is>
      </c>
      <c r="K4" s="4" t="inlineStr">
        <is>
          <t>朋友介紹</t>
        </is>
      </c>
      <c r="L4" s="4" t="inlineStr">
        <is>
          <t>活躍</t>
        </is>
      </c>
      <c r="M4" s="4" t="inlineStr">
        <is>
          <t>Email+官網</t>
        </is>
      </c>
    </row>
    <row r="5">
      <c r="A5" s="5" t="inlineStr">
        <is>
          <t>C26002</t>
        </is>
      </c>
      <c r="B5" s="5" t="inlineStr">
        <is>
          <t>範例設計工作室</t>
        </is>
      </c>
      <c r="C5" s="5" t="inlineStr"/>
      <c r="D5" s="5" t="inlineStr">
        <is>
          <t>李小美</t>
        </is>
      </c>
      <c r="E5" s="5" t="inlineStr">
        <is>
          <t>負責人</t>
        </is>
      </c>
      <c r="F5" s="5" t="inlineStr"/>
      <c r="G5" s="5" t="inlineStr">
        <is>
          <t>0933-987-654</t>
        </is>
      </c>
      <c r="H5" s="5" t="inlineStr">
        <is>
          <t>hello@example-design.tw</t>
        </is>
      </c>
      <c r="I5" s="5" t="inlineStr"/>
      <c r="J5" s="5" t="inlineStr">
        <is>
          <t>2026-03-01</t>
        </is>
      </c>
      <c r="K5" s="5" t="inlineStr">
        <is>
          <t>Google 搜尋</t>
        </is>
      </c>
      <c r="L5" s="5" t="inlineStr">
        <is>
          <t>活躍</t>
        </is>
      </c>
      <c r="M5" s="5" t="inlineStr">
        <is>
          <t>僅 Email 輕量版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2" customWidth="1" min="4" max="4"/>
    <col width="16" customWidth="1" min="5" max="5"/>
    <col width="6" customWidth="1" min="6" max="6"/>
    <col width="10" customWidth="1" min="7" max="7"/>
    <col width="8" customWidth="1" min="8" max="8"/>
    <col width="10" customWidth="1" min="9" max="9"/>
    <col width="8" customWidth="1" min="10" max="10"/>
    <col width="12" customWidth="1" min="11" max="11"/>
    <col width="12" customWidth="1" min="12" max="12"/>
    <col width="10" customWidth="1" min="13" max="13"/>
    <col width="10" customWidth="1" min="14" max="14"/>
    <col width="16" customWidth="1" min="15" max="15"/>
  </cols>
  <sheetData>
    <row r="1" ht="32" customHeight="1">
      <c r="A1" s="1" t="inlineStr">
        <is>
          <t>📦 服務項目</t>
        </is>
      </c>
    </row>
    <row r="3">
      <c r="A3" s="3" t="inlineStr">
        <is>
          <t>項目編號</t>
        </is>
      </c>
      <c r="B3" s="3" t="inlineStr">
        <is>
          <t>客戶編號</t>
        </is>
      </c>
      <c r="C3" s="3" t="inlineStr">
        <is>
          <t>客戶名稱</t>
        </is>
      </c>
      <c r="D3" s="3" t="inlineStr">
        <is>
          <t>產品代碼</t>
        </is>
      </c>
      <c r="E3" s="3" t="inlineStr">
        <is>
          <t>方案名稱</t>
        </is>
      </c>
      <c r="F3" s="3" t="inlineStr">
        <is>
          <t>數量</t>
        </is>
      </c>
      <c r="G3" s="3" t="inlineStr">
        <is>
          <t>單價(NTD)</t>
        </is>
      </c>
      <c r="H3" s="3" t="inlineStr">
        <is>
          <t>折扣%</t>
        </is>
      </c>
      <c r="I3" s="3" t="inlineStr">
        <is>
          <t>小計(NTD)</t>
        </is>
      </c>
      <c r="J3" s="3" t="inlineStr">
        <is>
          <t>計費週期</t>
        </is>
      </c>
      <c r="K3" s="3" t="inlineStr">
        <is>
          <t>起始日</t>
        </is>
      </c>
      <c r="L3" s="3" t="inlineStr">
        <is>
          <t>到期日</t>
        </is>
      </c>
      <c r="M3" s="3" t="inlineStr">
        <is>
          <t>自動續約</t>
        </is>
      </c>
      <c r="N3" s="3" t="inlineStr">
        <is>
          <t>狀態</t>
        </is>
      </c>
      <c r="O3" s="3" t="inlineStr">
        <is>
          <t>備註</t>
        </is>
      </c>
    </row>
    <row r="4">
      <c r="A4" s="4" t="inlineStr">
        <is>
          <t>S26001</t>
        </is>
      </c>
      <c r="B4" s="4" t="inlineStr">
        <is>
          <t>C26001</t>
        </is>
      </c>
      <c r="C4" s="4" t="inlineStr">
        <is>
          <t>範例科技有限公司</t>
        </is>
      </c>
      <c r="D4" s="4" t="inlineStr">
        <is>
          <t>WEB-01</t>
        </is>
      </c>
      <c r="E4" s="4" t="inlineStr">
        <is>
          <t>官網維護</t>
        </is>
      </c>
      <c r="F4" s="4" t="n">
        <v>1</v>
      </c>
      <c r="G4" s="4" t="n">
        <v>8000</v>
      </c>
      <c r="H4" s="4" t="n">
        <v>0</v>
      </c>
      <c r="I4" s="4">
        <f>F4*G4*(1-H4/100)</f>
        <v/>
      </c>
      <c r="J4" s="4" t="inlineStr">
        <is>
          <t>月</t>
        </is>
      </c>
      <c r="K4" s="4" t="inlineStr">
        <is>
          <t>2026-01-15</t>
        </is>
      </c>
      <c r="L4" s="4" t="inlineStr">
        <is>
          <t>2027-01-14</t>
        </is>
      </c>
      <c r="M4" s="4" t="inlineStr">
        <is>
          <t>是</t>
        </is>
      </c>
      <c r="N4" s="4" t="inlineStr">
        <is>
          <t>生效中</t>
        </is>
      </c>
      <c r="O4" s="4" t="inlineStr"/>
    </row>
    <row r="5">
      <c r="A5" s="5" t="inlineStr">
        <is>
          <t>S26002</t>
        </is>
      </c>
      <c r="B5" s="5" t="inlineStr">
        <is>
          <t>C26001</t>
        </is>
      </c>
      <c r="C5" s="5" t="inlineStr">
        <is>
          <t>範例科技有限公司</t>
        </is>
      </c>
      <c r="D5" s="5" t="inlineStr">
        <is>
          <t>MAIL-STD</t>
        </is>
      </c>
      <c r="E5" s="5" t="inlineStr">
        <is>
          <t>Email 標準版</t>
        </is>
      </c>
      <c r="F5" s="5" t="n">
        <v>1</v>
      </c>
      <c r="G5" s="5" t="n">
        <v>3500</v>
      </c>
      <c r="H5" s="5" t="n">
        <v>0</v>
      </c>
      <c r="I5" s="5">
        <f>F5*G5*(1-H5/100)</f>
        <v/>
      </c>
      <c r="J5" s="5" t="inlineStr">
        <is>
          <t>月</t>
        </is>
      </c>
      <c r="K5" s="5" t="inlineStr">
        <is>
          <t>2026-01-15</t>
        </is>
      </c>
      <c r="L5" s="5" t="inlineStr">
        <is>
          <t>2027-01-14</t>
        </is>
      </c>
      <c r="M5" s="5" t="inlineStr">
        <is>
          <t>是</t>
        </is>
      </c>
      <c r="N5" s="5" t="inlineStr">
        <is>
          <t>生效中</t>
        </is>
      </c>
      <c r="O5" s="5" t="inlineStr">
        <is>
          <t>主打方案</t>
        </is>
      </c>
    </row>
    <row r="6">
      <c r="A6" s="4" t="inlineStr">
        <is>
          <t>S26003</t>
        </is>
      </c>
      <c r="B6" s="4" t="inlineStr">
        <is>
          <t>C26001</t>
        </is>
      </c>
      <c r="C6" s="4" t="inlineStr">
        <is>
          <t>範例科技有限公司</t>
        </is>
      </c>
      <c r="D6" s="4" t="inlineStr">
        <is>
          <t>CAP-M</t>
        </is>
      </c>
      <c r="E6" s="4" t="inlineStr">
        <is>
          <t>容量加購中量</t>
        </is>
      </c>
      <c r="F6" s="4" t="n">
        <v>1</v>
      </c>
      <c r="G6" s="4" t="n">
        <v>1200</v>
      </c>
      <c r="H6" s="7" t="n">
        <v>10</v>
      </c>
      <c r="I6" s="4">
        <f>F6*G6*(1-H6/100)</f>
        <v/>
      </c>
      <c r="J6" s="4" t="inlineStr">
        <is>
          <t>月</t>
        </is>
      </c>
      <c r="K6" s="4" t="inlineStr">
        <is>
          <t>2026-02-01</t>
        </is>
      </c>
      <c r="L6" s="4" t="inlineStr">
        <is>
          <t>2027-01-31</t>
        </is>
      </c>
      <c r="M6" s="4" t="inlineStr">
        <is>
          <t>是</t>
        </is>
      </c>
      <c r="N6" s="4" t="inlineStr">
        <is>
          <t>生效中</t>
        </is>
      </c>
      <c r="O6" s="4" t="inlineStr">
        <is>
          <t>老客戶折扣</t>
        </is>
      </c>
    </row>
    <row r="7">
      <c r="A7" s="5" t="inlineStr">
        <is>
          <t>S26004</t>
        </is>
      </c>
      <c r="B7" s="5" t="inlineStr">
        <is>
          <t>C26002</t>
        </is>
      </c>
      <c r="C7" s="5" t="inlineStr">
        <is>
          <t>範例設計工作室</t>
        </is>
      </c>
      <c r="D7" s="5" t="inlineStr">
        <is>
          <t>MAIL-LITE</t>
        </is>
      </c>
      <c r="E7" s="5" t="inlineStr">
        <is>
          <t>Email 輕量版</t>
        </is>
      </c>
      <c r="F7" s="5" t="n">
        <v>1</v>
      </c>
      <c r="G7" s="5" t="n">
        <v>1500</v>
      </c>
      <c r="H7" s="5" t="n">
        <v>0</v>
      </c>
      <c r="I7" s="5">
        <f>F7*G7*(1-H7/100)</f>
        <v/>
      </c>
      <c r="J7" s="5" t="inlineStr">
        <is>
          <t>月</t>
        </is>
      </c>
      <c r="K7" s="5" t="inlineStr">
        <is>
          <t>2026-03-01</t>
        </is>
      </c>
      <c r="L7" s="5" t="inlineStr">
        <is>
          <t>2027-02-28</t>
        </is>
      </c>
      <c r="M7" s="5" t="inlineStr">
        <is>
          <t>是</t>
        </is>
      </c>
      <c r="N7" s="5" t="inlineStr">
        <is>
          <t>生效中</t>
        </is>
      </c>
      <c r="O7" s="5" t="inlineStr"/>
    </row>
    <row r="8">
      <c r="A8" s="4" t="inlineStr">
        <is>
          <t>S26005</t>
        </is>
      </c>
      <c r="B8" s="4" t="inlineStr">
        <is>
          <t>C26002</t>
        </is>
      </c>
      <c r="C8" s="4" t="inlineStr">
        <is>
          <t>範例設計工作室</t>
        </is>
      </c>
      <c r="D8" s="4" t="inlineStr">
        <is>
          <t>ALIAS-03</t>
        </is>
      </c>
      <c r="E8" s="4" t="inlineStr">
        <is>
          <t>別名組合包</t>
        </is>
      </c>
      <c r="F8" s="4" t="n">
        <v>1</v>
      </c>
      <c r="G8" s="4" t="n">
        <v>500</v>
      </c>
      <c r="H8" s="4" t="n">
        <v>0</v>
      </c>
      <c r="I8" s="4">
        <f>F8*G8*(1-H8/100)</f>
        <v/>
      </c>
      <c r="J8" s="4" t="inlineStr">
        <is>
          <t>月</t>
        </is>
      </c>
      <c r="K8" s="4" t="inlineStr">
        <is>
          <t>2026-03-01</t>
        </is>
      </c>
      <c r="L8" s="4" t="inlineStr">
        <is>
          <t>2027-02-28</t>
        </is>
      </c>
      <c r="M8" s="4" t="inlineStr">
        <is>
          <t>是</t>
        </is>
      </c>
      <c r="N8" s="4" t="inlineStr">
        <is>
          <t>生效中</t>
        </is>
      </c>
      <c r="O8" s="4" t="inlineStr"/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22" customWidth="1" min="5" max="5"/>
    <col width="12" customWidth="1" min="6" max="6"/>
    <col width="12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 ht="32" customHeight="1">
      <c r="A1" s="1" t="inlineStr">
        <is>
          <t>💵 收款紀錄 2026</t>
        </is>
      </c>
    </row>
    <row r="3">
      <c r="A3" s="3" t="inlineStr">
        <is>
          <t>收款日期</t>
        </is>
      </c>
      <c r="B3" s="3" t="inlineStr">
        <is>
          <t>客戶編號</t>
        </is>
      </c>
      <c r="C3" s="3" t="inlineStr">
        <is>
          <t>客戶名稱</t>
        </is>
      </c>
      <c r="D3" s="3" t="inlineStr">
        <is>
          <t>項目編號</t>
        </is>
      </c>
      <c r="E3" s="3" t="inlineStr">
        <is>
          <t>內容摘要</t>
        </is>
      </c>
      <c r="F3" s="3" t="inlineStr">
        <is>
          <t>金額(NTD)</t>
        </is>
      </c>
      <c r="G3" s="3" t="inlineStr">
        <is>
          <t>付款方式</t>
        </is>
      </c>
      <c r="H3" s="3" t="inlineStr">
        <is>
          <t>發票號碼</t>
        </is>
      </c>
      <c r="I3" s="3" t="inlineStr">
        <is>
          <t>發票日期</t>
        </is>
      </c>
      <c r="J3" s="3" t="inlineStr">
        <is>
          <t>對帳狀態</t>
        </is>
      </c>
      <c r="K3" s="3" t="inlineStr">
        <is>
          <t>備註</t>
        </is>
      </c>
    </row>
    <row r="4">
      <c r="A4" s="4" t="inlineStr">
        <is>
          <t>2026-01-20</t>
        </is>
      </c>
      <c r="B4" s="4" t="inlineStr">
        <is>
          <t>C26001</t>
        </is>
      </c>
      <c r="C4" s="4" t="inlineStr">
        <is>
          <t>範例科技有限公司</t>
        </is>
      </c>
      <c r="D4" s="4" t="inlineStr">
        <is>
          <t>S26001</t>
        </is>
      </c>
      <c r="E4" s="4" t="inlineStr">
        <is>
          <t>2026 Q1 官網維護</t>
        </is>
      </c>
      <c r="F4" s="4" t="n">
        <v>24000</v>
      </c>
      <c r="G4" s="4" t="inlineStr">
        <is>
          <t>銀行轉帳</t>
        </is>
      </c>
      <c r="H4" s="4" t="inlineStr">
        <is>
          <t>AB-12345678</t>
        </is>
      </c>
      <c r="I4" s="4" t="inlineStr">
        <is>
          <t>2026-01-20</t>
        </is>
      </c>
      <c r="J4" s="4" t="inlineStr">
        <is>
          <t>已對帳</t>
        </is>
      </c>
      <c r="K4" s="4" t="inlineStr"/>
    </row>
    <row r="5">
      <c r="A5" s="5" t="inlineStr">
        <is>
          <t>2026-01-20</t>
        </is>
      </c>
      <c r="B5" s="5" t="inlineStr">
        <is>
          <t>C26001</t>
        </is>
      </c>
      <c r="C5" s="5" t="inlineStr">
        <is>
          <t>範例科技有限公司</t>
        </is>
      </c>
      <c r="D5" s="5" t="inlineStr">
        <is>
          <t>S26002</t>
        </is>
      </c>
      <c r="E5" s="5" t="inlineStr">
        <is>
          <t>2026 Q1 Email 標準版</t>
        </is>
      </c>
      <c r="F5" s="5" t="n">
        <v>10500</v>
      </c>
      <c r="G5" s="5" t="inlineStr">
        <is>
          <t>銀行轉帳</t>
        </is>
      </c>
      <c r="H5" s="5" t="inlineStr">
        <is>
          <t>AB-12345679</t>
        </is>
      </c>
      <c r="I5" s="5" t="inlineStr">
        <is>
          <t>2026-01-20</t>
        </is>
      </c>
      <c r="J5" s="5" t="inlineStr">
        <is>
          <t>已對帳</t>
        </is>
      </c>
      <c r="K5" s="5" t="inlineStr"/>
    </row>
    <row r="6">
      <c r="A6" s="4" t="inlineStr">
        <is>
          <t>2026-03-05</t>
        </is>
      </c>
      <c r="B6" s="4" t="inlineStr">
        <is>
          <t>C26002</t>
        </is>
      </c>
      <c r="C6" s="4" t="inlineStr">
        <is>
          <t>範例設計工作室</t>
        </is>
      </c>
      <c r="D6" s="4" t="inlineStr">
        <is>
          <t>S26004</t>
        </is>
      </c>
      <c r="E6" s="4" t="inlineStr">
        <is>
          <t>2026 Q1 Email 輕量版</t>
        </is>
      </c>
      <c r="F6" s="4" t="n">
        <v>4500</v>
      </c>
      <c r="G6" s="4" t="inlineStr">
        <is>
          <t>LINE Pay</t>
        </is>
      </c>
      <c r="H6" s="4" t="inlineStr">
        <is>
          <t>AB-12345680</t>
        </is>
      </c>
      <c r="I6" s="4" t="inlineStr">
        <is>
          <t>2026-03-05</t>
        </is>
      </c>
      <c r="J6" s="4" t="inlineStr">
        <is>
          <t>已對帳</t>
        </is>
      </c>
      <c r="K6" s="4" t="inlineStr"/>
    </row>
    <row r="7">
      <c r="A7" s="5" t="inlineStr">
        <is>
          <t>2026-03-05</t>
        </is>
      </c>
      <c r="B7" s="5" t="inlineStr">
        <is>
          <t>C26002</t>
        </is>
      </c>
      <c r="C7" s="5" t="inlineStr">
        <is>
          <t>範例設計工作室</t>
        </is>
      </c>
      <c r="D7" s="5" t="inlineStr">
        <is>
          <t>S26005</t>
        </is>
      </c>
      <c r="E7" s="5" t="inlineStr">
        <is>
          <t>2026 Q1 別名組合包</t>
        </is>
      </c>
      <c r="F7" s="5" t="n">
        <v>1500</v>
      </c>
      <c r="G7" s="5" t="inlineStr">
        <is>
          <t>LINE Pay</t>
        </is>
      </c>
      <c r="H7" s="5" t="inlineStr">
        <is>
          <t>AB-12345681</t>
        </is>
      </c>
      <c r="I7" s="5" t="inlineStr">
        <is>
          <t>2026-03-05</t>
        </is>
      </c>
      <c r="J7" s="5" t="inlineStr">
        <is>
          <t>已對帳</t>
        </is>
      </c>
      <c r="K7" s="5" t="inlineStr"/>
    </row>
    <row r="9">
      <c r="E9" s="8" t="inlineStr">
        <is>
          <t>年度合計</t>
        </is>
      </c>
      <c r="F9" s="8">
        <f>SUM(F4:F8)</f>
        <v/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4" customWidth="1" min="4" max="4"/>
    <col width="14" customWidth="1" min="5" max="5"/>
  </cols>
  <sheetData>
    <row r="1" ht="32" customHeight="1">
      <c r="A1" s="1" t="inlineStr">
        <is>
          <t>🧮 報價單</t>
        </is>
      </c>
    </row>
    <row r="2">
      <c r="A2" t="inlineStr"/>
      <c r="B2" t="inlineStr"/>
      <c r="C2" t="inlineStr"/>
      <c r="D2" s="9" t="inlineStr">
        <is>
          <t>報價編號</t>
        </is>
      </c>
      <c r="E2" t="inlineStr">
        <is>
          <t>Q26-0001</t>
        </is>
      </c>
    </row>
    <row r="3">
      <c r="A3" t="inlineStr"/>
      <c r="B3" t="inlineStr"/>
      <c r="C3" t="inlineStr"/>
      <c r="D3" s="9" t="inlineStr">
        <is>
          <t>報價日期</t>
        </is>
      </c>
      <c r="E3" t="inlineStr">
        <is>
          <t>2026-04-20</t>
        </is>
      </c>
    </row>
    <row r="4">
      <c r="A4" t="inlineStr"/>
      <c r="B4" t="inlineStr"/>
      <c r="C4" t="inlineStr"/>
      <c r="D4" s="9" t="inlineStr">
        <is>
          <t>有效期</t>
        </is>
      </c>
      <c r="E4" t="inlineStr">
        <is>
          <t>30 天</t>
        </is>
      </c>
    </row>
    <row r="6">
      <c r="A6" s="2" t="inlineStr">
        <is>
          <t>客戶資訊</t>
        </is>
      </c>
    </row>
    <row r="7">
      <c r="A7" s="9" t="inlineStr">
        <is>
          <t>客戶名稱</t>
        </is>
      </c>
      <c r="B7" s="6" t="inlineStr">
        <is>
          <t>[填入]</t>
        </is>
      </c>
    </row>
    <row r="8">
      <c r="A8" s="9" t="inlineStr">
        <is>
          <t>聯絡人</t>
        </is>
      </c>
      <c r="B8" s="6" t="inlineStr">
        <is>
          <t>[填入]</t>
        </is>
      </c>
    </row>
    <row r="9">
      <c r="A9" s="9" t="inlineStr">
        <is>
          <t>電話</t>
        </is>
      </c>
      <c r="B9" s="6" t="inlineStr">
        <is>
          <t>[填入]</t>
        </is>
      </c>
    </row>
    <row r="10">
      <c r="A10" s="9" t="inlineStr">
        <is>
          <t>Email</t>
        </is>
      </c>
      <c r="B10" s="6" t="inlineStr">
        <is>
          <t>[填入]</t>
        </is>
      </c>
    </row>
    <row r="12">
      <c r="A12" s="2" t="inlineStr">
        <is>
          <t>報價明細</t>
        </is>
      </c>
    </row>
    <row r="13">
      <c r="A13" s="3" t="inlineStr">
        <is>
          <t>產品代碼</t>
        </is>
      </c>
      <c r="B13" s="3" t="inlineStr">
        <is>
          <t>方案名稱</t>
        </is>
      </c>
      <c r="C13" s="3" t="inlineStr">
        <is>
          <t>數量</t>
        </is>
      </c>
      <c r="D13" s="3" t="inlineStr">
        <is>
          <t>單價(NTD)</t>
        </is>
      </c>
      <c r="E13" s="3" t="inlineStr">
        <is>
          <t>小計(NTD)</t>
        </is>
      </c>
    </row>
    <row r="14">
      <c r="A14" s="4" t="inlineStr">
        <is>
          <t>MAIL-STD</t>
        </is>
      </c>
      <c r="B14" s="4" t="inlineStr">
        <is>
          <t>Email 標準版 × 3 個月</t>
        </is>
      </c>
      <c r="C14" s="4" t="n">
        <v>3</v>
      </c>
      <c r="D14" s="4" t="n">
        <v>3500</v>
      </c>
      <c r="E14" s="4">
        <f>C14*D14</f>
        <v/>
      </c>
    </row>
    <row r="15">
      <c r="A15" s="4" t="inlineStr">
        <is>
          <t>WEB-01</t>
        </is>
      </c>
      <c r="B15" s="4" t="inlineStr">
        <is>
          <t>官網維護 × 3 個月</t>
        </is>
      </c>
      <c r="C15" s="4" t="n">
        <v>3</v>
      </c>
      <c r="D15" s="4" t="n">
        <v>8000</v>
      </c>
      <c r="E15" s="4">
        <f>C15*D15</f>
        <v/>
      </c>
    </row>
    <row r="16">
      <c r="A16" s="4" t="inlineStr">
        <is>
          <t>ALIAS-03</t>
        </is>
      </c>
      <c r="B16" s="4" t="inlineStr">
        <is>
          <t>別名組合包 × 3 個月</t>
        </is>
      </c>
      <c r="C16" s="4" t="n">
        <v>3</v>
      </c>
      <c r="D16" s="4" t="n">
        <v>500</v>
      </c>
      <c r="E16" s="4">
        <f>C16*D16</f>
        <v/>
      </c>
    </row>
    <row r="17">
      <c r="A17" s="4" t="inlineStr"/>
      <c r="B17" s="4" t="inlineStr"/>
      <c r="C17" s="4" t="inlineStr"/>
      <c r="D17" s="4" t="inlineStr"/>
      <c r="E17" s="4" t="inlineStr"/>
    </row>
    <row r="18">
      <c r="D18" s="9" t="inlineStr">
        <is>
          <t>未稅小計</t>
        </is>
      </c>
      <c r="E18">
        <f>SUM(E14:E17)</f>
        <v/>
      </c>
    </row>
    <row r="19">
      <c r="D19" s="9" t="inlineStr">
        <is>
          <t>營業稅 5%</t>
        </is>
      </c>
      <c r="E19">
        <f>E18*0.05</f>
        <v/>
      </c>
    </row>
    <row r="20">
      <c r="D20" s="8" t="inlineStr">
        <is>
          <t>合計（含稅）</t>
        </is>
      </c>
      <c r="E20" s="8">
        <f>E18+E19</f>
        <v/>
      </c>
    </row>
    <row r="22">
      <c r="A22" s="2" t="inlineStr">
        <is>
          <t>備註</t>
        </is>
      </c>
    </row>
    <row r="23">
      <c r="A23" s="6" t="inlineStr">
        <is>
          <t>1. 本報價含稅</t>
        </is>
      </c>
    </row>
    <row r="24">
      <c r="A24" s="6" t="inlineStr">
        <is>
          <t>2. 付款方式：銀行轉帳／LINE Pay／現金</t>
        </is>
      </c>
    </row>
    <row r="25">
      <c r="A25" s="6" t="inlineStr">
        <is>
          <t>3. 報價有效期內有效，逾期請重新確認</t>
        </is>
      </c>
    </row>
    <row r="26">
      <c r="A26" s="6" t="inlineStr">
        <is>
          <t>4. 服務正式啟用日以收到款項後起算</t>
        </is>
      </c>
    </row>
    <row r="27">
      <c r="A27" s="6" t="inlineStr">
        <is>
          <t>5. 續約請於到期前 30 日告知</t>
        </is>
      </c>
    </row>
  </sheetData>
  <mergeCells count="10">
    <mergeCell ref="B9:E9"/>
    <mergeCell ref="B8:E8"/>
    <mergeCell ref="A26:E26"/>
    <mergeCell ref="A24:E24"/>
    <mergeCell ref="A25:E25"/>
    <mergeCell ref="B7:E7"/>
    <mergeCell ref="A1:E1"/>
    <mergeCell ref="A23:E23"/>
    <mergeCell ref="B10:E10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2026-04-20T14:30:21Z</dcterms:created>
  <dcterms:modified xsi:type="dcterms:W3CDTF">2026-04-20T14:30:21Z</dcterms:modified>
</cp:coreProperties>
</file>